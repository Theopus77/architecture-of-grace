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oster (PRIVATE)" sheetId="2" state="visible" r:id="rId4"/>
    <sheet name="Log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<sst xmlns="http://schemas.openxmlformats.org/spreadsheetml/2006/main" count="51" uniqueCount="48">
  <si>
    <t xml:space="preserve">Architecture of Grace - Pilot Outcome Tracker</t>
  </si>
  <si>
    <t xml:space="preserve">A simple, private workbook to log a pilot and see growth. You own this file; nothing is sent anywhere.</t>
  </si>
  <si>
    <t xml:space="preserve">HOW TO USE</t>
  </si>
  <si>
    <t xml:space="preserve">1. Roster tab (PRIVATE): give each student a CODE, never use this with their name outside this file. Keep this tab in the school only.</t>
  </si>
  <si>
    <t xml:space="preserve">2. Log tab: one row per student per check-in window (Fall / Winter / Spring). Enter the three domain scores (0-100).</t>
  </si>
  <si>
    <t xml:space="preserve">3. Composite and Band fill in automatically. Band: 75-100 Doing well - 50-74 Worth a reflection - 0-49 Needs support.</t>
  </si>
  <si>
    <t xml:space="preserve">4. Summary tab: see how many students are in each band and the share at or above the target, by window.</t>
  </si>
  <si>
    <t xml:space="preserve">WHAT TO MEASURE (suggested)</t>
  </si>
  <si>
    <t xml:space="preserve">- Movement: share of students who rise at least one band from Fall to Spring.</t>
  </si>
  <si>
    <t xml:space="preserve">- Growth: average composite change per window, and per domain (A / B / C).</t>
  </si>
  <si>
    <t xml:space="preserve">- Goals: for students with a Grace Goal, whether they reached the target band.</t>
  </si>
  <si>
    <t xml:space="preserve">- Voice: short teacher and parent feedback (a few sentences each) - kept on the Feedback tab.</t>
  </si>
  <si>
    <t xml:space="preserve">HONEST LIMITATIONS</t>
  </si>
  <si>
    <t xml:space="preserve">Cut scores are provisional and this is not a controlled study. Treat results as a pilot signal, not proof. A flag for support, never a diagnosis.</t>
  </si>
  <si>
    <t xml:space="preserve">Privacy / IEP data use should be reviewed by your district counsel and IT before deployment.</t>
  </si>
  <si>
    <t xml:space="preserve">PRIVATE - the code-to-name key. Keep this tab in the school only. It is never synced or shared.</t>
  </si>
  <si>
    <t xml:space="preserve">student_code</t>
  </si>
  <si>
    <t xml:space="preserve">student_name</t>
  </si>
  <si>
    <t xml:space="preserve">grade</t>
  </si>
  <si>
    <t xml:space="preserve">class</t>
  </si>
  <si>
    <t xml:space="preserve">notes</t>
  </si>
  <si>
    <t xml:space="preserve">RM3B-7HQ4</t>
  </si>
  <si>
    <t xml:space="preserve">(example) Maya R.</t>
  </si>
  <si>
    <t xml:space="preserve">3</t>
  </si>
  <si>
    <t xml:space="preserve">3B</t>
  </si>
  <si>
    <t xml:space="preserve">sample row - replace</t>
  </si>
  <si>
    <t xml:space="preserve">window</t>
  </si>
  <si>
    <t xml:space="preserve">date</t>
  </si>
  <si>
    <t xml:space="preserve">A (Regulation)</t>
  </si>
  <si>
    <t xml:space="preserve">B (Self-Compassion)</t>
  </si>
  <si>
    <t xml:space="preserve">C (Social &amp; Repair)</t>
  </si>
  <si>
    <t xml:space="preserve">composite</t>
  </si>
  <si>
    <t xml:space="preserve">band</t>
  </si>
  <si>
    <t xml:space="preserve">goal competency</t>
  </si>
  <si>
    <t xml:space="preserve">goal status</t>
  </si>
  <si>
    <t xml:space="preserve">Fall</t>
  </si>
  <si>
    <t xml:space="preserve">2025-09-22</t>
  </si>
  <si>
    <t xml:space="preserve">The Repair Move</t>
  </si>
  <si>
    <t xml:space="preserve">baseline</t>
  </si>
  <si>
    <t xml:space="preserve">first window</t>
  </si>
  <si>
    <t xml:space="preserve">Pilot Summary</t>
  </si>
  <si>
    <t xml:space="preserve">Entries logged</t>
  </si>
  <si>
    <t xml:space="preserve">Doing well (75-100)</t>
  </si>
  <si>
    <t xml:space="preserve">Worth a reflection (50-74)</t>
  </si>
  <si>
    <t xml:space="preserve">Needs support (0-49)</t>
  </si>
  <si>
    <t xml:space="preserve">Share at or above target</t>
  </si>
  <si>
    <t xml:space="preserve">Average composite</t>
  </si>
  <si>
    <t xml:space="preserve">Tip: filter the Log tab by window (Fall/Winter/Spring) to compare bands across windows.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</si>
</sst>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1E33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D9A33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color rgb="FF8B2A2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A1E33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.5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B2A2A"/>
        <bgColor rgb="FF993366"/>
      </patternFill>
    </fill>
    <fill>
      <patternFill patternType="solid">
        <fgColor rgb="FF0A1E33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9A33B"/>
      <rgbColor rgb="FFFF6600"/>
      <rgbColor rgb="FF666666"/>
      <rgbColor rgb="FF969696"/>
      <rgbColor rgb="FF0A1E33"/>
      <rgbColor rgb="FF339966"/>
      <rgbColor rgb="FF003300"/>
      <rgbColor rgb="FF333300"/>
      <rgbColor rgb="FF8B2A2A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33B"/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4"/>
  </cols>
  <sheetData>
    <row r="1" customFormat="false" ht="24" hidden="false" customHeight="true" outlineLevel="0" collapsed="false">
      <c r="A1" s="1" t="s">
        <v>0</v>
      </c>
    </row>
    <row r="2" customFormat="false" ht="18" hidden="false" customHeight="tru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6" customFormat="false" ht="15" hidden="false" customHeight="false" outlineLevel="0" collapsed="false">
      <c r="A16" s="5" t="s">
        <v>12</v>
      </c>
    </row>
    <row r="17" customFormat="false" ht="23.8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2A2A"/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4" min="3" style="0" width="8"/>
    <col collapsed="false" customWidth="true" hidden="false" outlineLevel="0" max="5" min="5" style="0" width="34"/>
  </cols>
  <sheetData>
    <row r="1" customFormat="false" ht="30" hidden="false" customHeight="true" outlineLevel="0" collapsed="false">
      <c r="A1" s="6" t="s">
        <v>15</v>
      </c>
      <c r="B1" s="6"/>
      <c r="C1" s="6"/>
      <c r="D1" s="6"/>
      <c r="E1" s="6"/>
    </row>
    <row r="2" customFormat="false" ht="15" hidden="false" customHeight="false" outlineLevel="0" collapsed="false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</row>
    <row r="3" customFormat="false" ht="15" hidden="false" customHeight="false" outlineLevel="0" collapsed="false">
      <c r="A3" s="0" t="s">
        <v>21</v>
      </c>
      <c r="B3" s="0" t="s">
        <v>22</v>
      </c>
      <c r="C3" s="0" t="s">
        <v>23</v>
      </c>
      <c r="D3" s="0" t="s">
        <v>24</v>
      </c>
      <c r="E3" s="0" t="s">
        <v>25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1E33"/>
    <pageSetUpPr fitToPage="false"/>
  </sheetPr>
  <dimension ref="A1:K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8"/>
    <col collapsed="false" customWidth="true" hidden="false" outlineLevel="0" max="7" min="7" style="0" width="11"/>
    <col collapsed="false" customWidth="true" hidden="false" outlineLevel="0" max="9" min="8" style="0" width="18"/>
    <col collapsed="false" customWidth="true" hidden="false" outlineLevel="0" max="10" min="10" style="0" width="13"/>
    <col collapsed="false" customWidth="true" hidden="false" outlineLevel="0" max="11" min="11" style="0" width="26"/>
  </cols>
  <sheetData>
    <row r="1" customFormat="false" ht="15" hidden="false" customHeight="false" outlineLevel="0" collapsed="false">
      <c r="A1" s="7" t="s">
        <v>16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20</v>
      </c>
    </row>
    <row r="2" customFormat="false" ht="15" hidden="false" customHeight="false" outlineLevel="0" collapsed="false">
      <c r="A2" s="0" t="s">
        <v>21</v>
      </c>
      <c r="B2" s="0" t="s">
        <v>35</v>
      </c>
      <c r="C2" s="0" t="s">
        <v>36</v>
      </c>
      <c r="D2" s="0" t="n">
        <v>44</v>
      </c>
      <c r="E2" s="0" t="n">
        <v>52</v>
      </c>
      <c r="F2" s="0" t="n">
        <v>46</v>
      </c>
      <c r="G2" s="0" t="n">
        <f aca="false">IF(COUNT(D2:F2)=0,"",ROUND(AVERAGE(D2:F2),0))</f>
        <v>47</v>
      </c>
      <c r="H2" s="0" t="str">
        <f aca="false">IF(G2="","",IF(G2&gt;=75,"Doing well",IF(G2&gt;=50,"Worth a reflection","Needs support")))</f>
        <v>Needs support</v>
      </c>
      <c r="I2" s="0" t="s">
        <v>37</v>
      </c>
      <c r="J2" s="0" t="s">
        <v>38</v>
      </c>
      <c r="K2" s="0" t="s">
        <v>39</v>
      </c>
    </row>
    <row r="3" customFormat="false" ht="15" hidden="false" customHeight="false" outlineLevel="0" collapsed="false">
      <c r="G3" s="0" t="str">
        <f aca="false">IF(COUNT(D3:F3)=0,"",ROUND(AVERAGE(D3:F3),0))</f>
        <v/>
      </c>
      <c r="H3" s="0" t="str">
        <f aca="false">IF(G3="","",IF(G3&gt;=75,"Doing well",IF(G3&gt;=50,"Worth a reflection","Needs support")))</f>
        <v/>
      </c>
    </row>
    <row r="4" customFormat="false" ht="15" hidden="false" customHeight="false" outlineLevel="0" collapsed="false">
      <c r="G4" s="0" t="str">
        <f aca="false">IF(COUNT(D4:F4)=0,"",ROUND(AVERAGE(D4:F4),0))</f>
        <v/>
      </c>
      <c r="H4" s="0" t="str">
        <f aca="false">IF(G4="","",IF(G4&gt;=75,"Doing well",IF(G4&gt;=50,"Worth a reflection","Needs support")))</f>
        <v/>
      </c>
    </row>
    <row r="5" customFormat="false" ht="15" hidden="false" customHeight="false" outlineLevel="0" collapsed="false">
      <c r="G5" s="0" t="str">
        <f aca="false">IF(COUNT(D5:F5)=0,"",ROUND(AVERAGE(D5:F5),0))</f>
        <v/>
      </c>
      <c r="H5" s="0" t="str">
        <f aca="false">IF(G5="","",IF(G5&gt;=75,"Doing well",IF(G5&gt;=50,"Worth a reflection","Needs support")))</f>
        <v/>
      </c>
    </row>
    <row r="6" customFormat="false" ht="15" hidden="false" customHeight="false" outlineLevel="0" collapsed="false">
      <c r="G6" s="0" t="str">
        <f aca="false">IF(COUNT(D6:F6)=0,"",ROUND(AVERAGE(D6:F6),0))</f>
        <v/>
      </c>
      <c r="H6" s="0" t="str">
        <f aca="false">IF(G6="","",IF(G6&gt;=75,"Doing well",IF(G6&gt;=50,"Worth a reflection","Needs support")))</f>
        <v/>
      </c>
    </row>
    <row r="7" customFormat="false" ht="15" hidden="false" customHeight="false" outlineLevel="0" collapsed="false">
      <c r="G7" s="0" t="str">
        <f aca="false">IF(COUNT(D7:F7)=0,"",ROUND(AVERAGE(D7:F7),0))</f>
        <v/>
      </c>
      <c r="H7" s="0" t="str">
        <f aca="false">IF(G7="","",IF(G7&gt;=75,"Doing well",IF(G7&gt;=50,"Worth a reflection","Needs support")))</f>
        <v/>
      </c>
    </row>
    <row r="8" customFormat="false" ht="15" hidden="false" customHeight="false" outlineLevel="0" collapsed="false">
      <c r="G8" s="0" t="str">
        <f aca="false">IF(COUNT(D8:F8)=0,"",ROUND(AVERAGE(D8:F8),0))</f>
        <v/>
      </c>
      <c r="H8" s="0" t="str">
        <f aca="false">IF(G8="","",IF(G8&gt;=75,"Doing well",IF(G8&gt;=50,"Worth a reflection","Needs support")))</f>
        <v/>
      </c>
    </row>
    <row r="9" customFormat="false" ht="15" hidden="false" customHeight="false" outlineLevel="0" collapsed="false">
      <c r="G9" s="0" t="str">
        <f aca="false">IF(COUNT(D9:F9)=0,"",ROUND(AVERAGE(D9:F9),0))</f>
        <v/>
      </c>
      <c r="H9" s="0" t="str">
        <f aca="false">IF(G9="","",IF(G9&gt;=75,"Doing well",IF(G9&gt;=50,"Worth a reflection","Needs support")))</f>
        <v/>
      </c>
    </row>
    <row r="10" customFormat="false" ht="15" hidden="false" customHeight="false" outlineLevel="0" collapsed="false">
      <c r="G10" s="0" t="str">
        <f aca="false">IF(COUNT(D10:F10)=0,"",ROUND(AVERAGE(D10:F10),0))</f>
        <v/>
      </c>
      <c r="H10" s="0" t="str">
        <f aca="false">IF(G10="","",IF(G10&gt;=75,"Doing well",IF(G10&gt;=50,"Worth a reflection","Needs support")))</f>
        <v/>
      </c>
    </row>
    <row r="11" customFormat="false" ht="15" hidden="false" customHeight="false" outlineLevel="0" collapsed="false">
      <c r="G11" s="0" t="str">
        <f aca="false">IF(COUNT(D11:F11)=0,"",ROUND(AVERAGE(D11:F11),0))</f>
        <v/>
      </c>
      <c r="H11" s="0" t="str">
        <f aca="false">IF(G11="","",IF(G11&gt;=75,"Doing well",IF(G11&gt;=50,"Worth a reflection","Needs support")))</f>
        <v/>
      </c>
    </row>
    <row r="12" customFormat="false" ht="15" hidden="false" customHeight="false" outlineLevel="0" collapsed="false">
      <c r="G12" s="0" t="str">
        <f aca="false">IF(COUNT(D12:F12)=0,"",ROUND(AVERAGE(D12:F12),0))</f>
        <v/>
      </c>
      <c r="H12" s="0" t="str">
        <f aca="false">IF(G12="","",IF(G12&gt;=75,"Doing well",IF(G12&gt;=50,"Worth a reflection","Needs support")))</f>
        <v/>
      </c>
    </row>
    <row r="13" customFormat="false" ht="15" hidden="false" customHeight="false" outlineLevel="0" collapsed="false">
      <c r="G13" s="0" t="str">
        <f aca="false">IF(COUNT(D13:F13)=0,"",ROUND(AVERAGE(D13:F13),0))</f>
        <v/>
      </c>
      <c r="H13" s="0" t="str">
        <f aca="false">IF(G13="","",IF(G13&gt;=75,"Doing well",IF(G13&gt;=50,"Worth a reflection","Needs support")))</f>
        <v/>
      </c>
    </row>
    <row r="14" customFormat="false" ht="15" hidden="false" customHeight="false" outlineLevel="0" collapsed="false">
      <c r="G14" s="0" t="str">
        <f aca="false">IF(COUNT(D14:F14)=0,"",ROUND(AVERAGE(D14:F14),0))</f>
        <v/>
      </c>
      <c r="H14" s="0" t="str">
        <f aca="false">IF(G14="","",IF(G14&gt;=75,"Doing well",IF(G14&gt;=50,"Worth a reflection","Needs support")))</f>
        <v/>
      </c>
    </row>
    <row r="15" customFormat="false" ht="15" hidden="false" customHeight="false" outlineLevel="0" collapsed="false">
      <c r="G15" s="0" t="str">
        <f aca="false">IF(COUNT(D15:F15)=0,"",ROUND(AVERAGE(D15:F15),0))</f>
        <v/>
      </c>
      <c r="H15" s="0" t="str">
        <f aca="false">IF(G15="","",IF(G15&gt;=75,"Doing well",IF(G15&gt;=50,"Worth a reflection","Needs support")))</f>
        <v/>
      </c>
    </row>
    <row r="16" customFormat="false" ht="15" hidden="false" customHeight="false" outlineLevel="0" collapsed="false">
      <c r="G16" s="0" t="str">
        <f aca="false">IF(COUNT(D16:F16)=0,"",ROUND(AVERAGE(D16:F16),0))</f>
        <v/>
      </c>
      <c r="H16" s="0" t="str">
        <f aca="false">IF(G16="","",IF(G16&gt;=75,"Doing well",IF(G16&gt;=50,"Worth a reflection","Needs support")))</f>
        <v/>
      </c>
    </row>
    <row r="17" customFormat="false" ht="15" hidden="false" customHeight="false" outlineLevel="0" collapsed="false">
      <c r="G17" s="0" t="str">
        <f aca="false">IF(COUNT(D17:F17)=0,"",ROUND(AVERAGE(D17:F17),0))</f>
        <v/>
      </c>
      <c r="H17" s="0" t="str">
        <f aca="false">IF(G17="","",IF(G17&gt;=75,"Doing well",IF(G17&gt;=50,"Worth a reflection","Needs support")))</f>
        <v/>
      </c>
    </row>
    <row r="18" customFormat="false" ht="15" hidden="false" customHeight="false" outlineLevel="0" collapsed="false">
      <c r="G18" s="0" t="str">
        <f aca="false">IF(COUNT(D18:F18)=0,"",ROUND(AVERAGE(D18:F18),0))</f>
        <v/>
      </c>
      <c r="H18" s="0" t="str">
        <f aca="false">IF(G18="","",IF(G18&gt;=75,"Doing well",IF(G18&gt;=50,"Worth a reflection","Needs support")))</f>
        <v/>
      </c>
    </row>
    <row r="19" customFormat="false" ht="15" hidden="false" customHeight="false" outlineLevel="0" collapsed="false">
      <c r="G19" s="0" t="str">
        <f aca="false">IF(COUNT(D19:F19)=0,"",ROUND(AVERAGE(D19:F19),0))</f>
        <v/>
      </c>
      <c r="H19" s="0" t="str">
        <f aca="false">IF(G19="","",IF(G19&gt;=75,"Doing well",IF(G19&gt;=50,"Worth a reflection","Needs support")))</f>
        <v/>
      </c>
    </row>
    <row r="20" customFormat="false" ht="15" hidden="false" customHeight="false" outlineLevel="0" collapsed="false">
      <c r="G20" s="0" t="str">
        <f aca="false">IF(COUNT(D20:F20)=0,"",ROUND(AVERAGE(D20:F20),0))</f>
        <v/>
      </c>
      <c r="H20" s="0" t="str">
        <f aca="false">IF(G20="","",IF(G20&gt;=75,"Doing well",IF(G20&gt;=50,"Worth a reflection","Needs support")))</f>
        <v/>
      </c>
    </row>
    <row r="21" customFormat="false" ht="15" hidden="false" customHeight="false" outlineLevel="0" collapsed="false">
      <c r="G21" s="0" t="str">
        <f aca="false">IF(COUNT(D21:F21)=0,"",ROUND(AVERAGE(D21:F21),0))</f>
        <v/>
      </c>
      <c r="H21" s="0" t="str">
        <f aca="false">IF(G21="","",IF(G21&gt;=75,"Doing well",IF(G21&gt;=50,"Worth a reflection","Needs support")))</f>
        <v/>
      </c>
    </row>
    <row r="22" customFormat="false" ht="15" hidden="false" customHeight="false" outlineLevel="0" collapsed="false">
      <c r="G22" s="0" t="str">
        <f aca="false">IF(COUNT(D22:F22)=0,"",ROUND(AVERAGE(D22:F22),0))</f>
        <v/>
      </c>
      <c r="H22" s="0" t="str">
        <f aca="false">IF(G22="","",IF(G22&gt;=75,"Doing well",IF(G22&gt;=50,"Worth a reflection","Needs support")))</f>
        <v/>
      </c>
    </row>
    <row r="23" customFormat="false" ht="15" hidden="false" customHeight="false" outlineLevel="0" collapsed="false">
      <c r="G23" s="0" t="str">
        <f aca="false">IF(COUNT(D23:F23)=0,"",ROUND(AVERAGE(D23:F23),0))</f>
        <v/>
      </c>
      <c r="H23" s="0" t="str">
        <f aca="false">IF(G23="","",IF(G23&gt;=75,"Doing well",IF(G23&gt;=50,"Worth a reflection","Needs support")))</f>
        <v/>
      </c>
    </row>
    <row r="24" customFormat="false" ht="15" hidden="false" customHeight="false" outlineLevel="0" collapsed="false">
      <c r="G24" s="0" t="str">
        <f aca="false">IF(COUNT(D24:F24)=0,"",ROUND(AVERAGE(D24:F24),0))</f>
        <v/>
      </c>
      <c r="H24" s="0" t="str">
        <f aca="false">IF(G24="","",IF(G24&gt;=75,"Doing well",IF(G24&gt;=50,"Worth a reflection","Needs support")))</f>
        <v/>
      </c>
    </row>
    <row r="25" customFormat="false" ht="15" hidden="false" customHeight="false" outlineLevel="0" collapsed="false">
      <c r="G25" s="0" t="str">
        <f aca="false">IF(COUNT(D25:F25)=0,"",ROUND(AVERAGE(D25:F25),0))</f>
        <v/>
      </c>
      <c r="H25" s="0" t="str">
        <f aca="false">IF(G25="","",IF(G25&gt;=75,"Doing well",IF(G25&gt;=50,"Worth a reflection","Needs support")))</f>
        <v/>
      </c>
    </row>
    <row r="26" customFormat="false" ht="15" hidden="false" customHeight="false" outlineLevel="0" collapsed="false">
      <c r="G26" s="0" t="str">
        <f aca="false">IF(COUNT(D26:F26)=0,"",ROUND(AVERAGE(D26:F26),0))</f>
        <v/>
      </c>
      <c r="H26" s="0" t="str">
        <f aca="false">IF(G26="","",IF(G26&gt;=75,"Doing well",IF(G26&gt;=50,"Worth a reflection","Needs support")))</f>
        <v/>
      </c>
    </row>
    <row r="27" customFormat="false" ht="15" hidden="false" customHeight="false" outlineLevel="0" collapsed="false">
      <c r="G27" s="0" t="str">
        <f aca="false">IF(COUNT(D27:F27)=0,"",ROUND(AVERAGE(D27:F27),0))</f>
        <v/>
      </c>
      <c r="H27" s="0" t="str">
        <f aca="false">IF(G27="","",IF(G27&gt;=75,"Doing well",IF(G27&gt;=50,"Worth a reflection","Needs support")))</f>
        <v/>
      </c>
    </row>
    <row r="28" customFormat="false" ht="15" hidden="false" customHeight="false" outlineLevel="0" collapsed="false">
      <c r="G28" s="0" t="str">
        <f aca="false">IF(COUNT(D28:F28)=0,"",ROUND(AVERAGE(D28:F28),0))</f>
        <v/>
      </c>
      <c r="H28" s="0" t="str">
        <f aca="false">IF(G28="","",IF(G28&gt;=75,"Doing well",IF(G28&gt;=50,"Worth a reflection","Needs support")))</f>
        <v/>
      </c>
    </row>
    <row r="29" customFormat="false" ht="15" hidden="false" customHeight="false" outlineLevel="0" collapsed="false">
      <c r="G29" s="0" t="str">
        <f aca="false">IF(COUNT(D29:F29)=0,"",ROUND(AVERAGE(D29:F29),0))</f>
        <v/>
      </c>
      <c r="H29" s="0" t="str">
        <f aca="false">IF(G29="","",IF(G29&gt;=75,"Doing well",IF(G29&gt;=50,"Worth a reflection","Needs support")))</f>
        <v/>
      </c>
    </row>
    <row r="30" customFormat="false" ht="15" hidden="false" customHeight="false" outlineLevel="0" collapsed="false">
      <c r="G30" s="0" t="str">
        <f aca="false">IF(COUNT(D30:F30)=0,"",ROUND(AVERAGE(D30:F30),0))</f>
        <v/>
      </c>
      <c r="H30" s="0" t="str">
        <f aca="false">IF(G30="","",IF(G30&gt;=75,"Doing well",IF(G30&gt;=50,"Worth a reflection","Needs support")))</f>
        <v/>
      </c>
    </row>
    <row r="31" customFormat="false" ht="15" hidden="false" customHeight="false" outlineLevel="0" collapsed="false">
      <c r="G31" s="0" t="str">
        <f aca="false">IF(COUNT(D31:F31)=0,"",ROUND(AVERAGE(D31:F31),0))</f>
        <v/>
      </c>
      <c r="H31" s="0" t="str">
        <f aca="false">IF(G31="","",IF(G31&gt;=75,"Doing well",IF(G31&gt;=50,"Worth a reflection","Needs support")))</f>
        <v/>
      </c>
    </row>
    <row r="32" customFormat="false" ht="15" hidden="false" customHeight="false" outlineLevel="0" collapsed="false">
      <c r="G32" s="0" t="str">
        <f aca="false">IF(COUNT(D32:F32)=0,"",ROUND(AVERAGE(D32:F32),0))</f>
        <v/>
      </c>
      <c r="H32" s="0" t="str">
        <f aca="false">IF(G32="","",IF(G32&gt;=75,"Doing well",IF(G32&gt;=50,"Worth a reflection","Needs support")))</f>
        <v/>
      </c>
    </row>
    <row r="33" customFormat="false" ht="15" hidden="false" customHeight="false" outlineLevel="0" collapsed="false">
      <c r="G33" s="0" t="str">
        <f aca="false">IF(COUNT(D33:F33)=0,"",ROUND(AVERAGE(D33:F33),0))</f>
        <v/>
      </c>
      <c r="H33" s="0" t="str">
        <f aca="false">IF(G33="","",IF(G33&gt;=75,"Doing well",IF(G33&gt;=50,"Worth a reflection","Needs support")))</f>
        <v/>
      </c>
    </row>
    <row r="34" customFormat="false" ht="15" hidden="false" customHeight="false" outlineLevel="0" collapsed="false">
      <c r="G34" s="0" t="str">
        <f aca="false">IF(COUNT(D34:F34)=0,"",ROUND(AVERAGE(D34:F34),0))</f>
        <v/>
      </c>
      <c r="H34" s="0" t="str">
        <f aca="false">IF(G34="","",IF(G34&gt;=75,"Doing well",IF(G34&gt;=50,"Worth a reflection","Needs support")))</f>
        <v/>
      </c>
    </row>
    <row r="35" customFormat="false" ht="15" hidden="false" customHeight="false" outlineLevel="0" collapsed="false">
      <c r="G35" s="0" t="str">
        <f aca="false">IF(COUNT(D35:F35)=0,"",ROUND(AVERAGE(D35:F35),0))</f>
        <v/>
      </c>
      <c r="H35" s="0" t="str">
        <f aca="false">IF(G35="","",IF(G35&gt;=75,"Doing well",IF(G35&gt;=50,"Worth a reflection","Needs support")))</f>
        <v/>
      </c>
    </row>
    <row r="36" customFormat="false" ht="15" hidden="false" customHeight="false" outlineLevel="0" collapsed="false">
      <c r="G36" s="0" t="str">
        <f aca="false">IF(COUNT(D36:F36)=0,"",ROUND(AVERAGE(D36:F36),0))</f>
        <v/>
      </c>
      <c r="H36" s="0" t="str">
        <f aca="false">IF(G36="","",IF(G36&gt;=75,"Doing well",IF(G36&gt;=50,"Worth a reflection","Needs support")))</f>
        <v/>
      </c>
    </row>
    <row r="37" customFormat="false" ht="15" hidden="false" customHeight="false" outlineLevel="0" collapsed="false">
      <c r="G37" s="0" t="str">
        <f aca="false">IF(COUNT(D37:F37)=0,"",ROUND(AVERAGE(D37:F37),0))</f>
        <v/>
      </c>
      <c r="H37" s="0" t="str">
        <f aca="false">IF(G37="","",IF(G37&gt;=75,"Doing well",IF(G37&gt;=50,"Worth a reflection","Needs support")))</f>
        <v/>
      </c>
    </row>
    <row r="38" customFormat="false" ht="15" hidden="false" customHeight="false" outlineLevel="0" collapsed="false">
      <c r="G38" s="0" t="str">
        <f aca="false">IF(COUNT(D38:F38)=0,"",ROUND(AVERAGE(D38:F38),0))</f>
        <v/>
      </c>
      <c r="H38" s="0" t="str">
        <f aca="false">IF(G38="","",IF(G38&gt;=75,"Doing well",IF(G38&gt;=50,"Worth a reflection","Needs support")))</f>
        <v/>
      </c>
    </row>
    <row r="39" customFormat="false" ht="15" hidden="false" customHeight="false" outlineLevel="0" collapsed="false">
      <c r="G39" s="0" t="str">
        <f aca="false">IF(COUNT(D39:F39)=0,"",ROUND(AVERAGE(D39:F39),0))</f>
        <v/>
      </c>
      <c r="H39" s="0" t="str">
        <f aca="false">IF(G39="","",IF(G39&gt;=75,"Doing well",IF(G39&gt;=50,"Worth a reflection","Needs support")))</f>
        <v/>
      </c>
    </row>
    <row r="40" customFormat="false" ht="15" hidden="false" customHeight="false" outlineLevel="0" collapsed="false">
      <c r="G40" s="0" t="str">
        <f aca="false">IF(COUNT(D40:F40)=0,"",ROUND(AVERAGE(D40:F40),0))</f>
        <v/>
      </c>
      <c r="H40" s="0" t="str">
        <f aca="false">IF(G40="","",IF(G40&gt;=75,"Doing well",IF(G40&gt;=50,"Worth a reflection","Needs support")))</f>
        <v/>
      </c>
    </row>
    <row r="41" customFormat="false" ht="15" hidden="false" customHeight="false" outlineLevel="0" collapsed="false">
      <c r="G41" s="0" t="str">
        <f aca="false">IF(COUNT(D41:F41)=0,"",ROUND(AVERAGE(D41:F41),0))</f>
        <v/>
      </c>
      <c r="H41" s="0" t="str">
        <f aca="false">IF(G41="","",IF(G41&gt;=75,"Doing well",IF(G41&gt;=50,"Worth a reflection","Needs support")))</f>
        <v/>
      </c>
    </row>
    <row r="42" customFormat="false" ht="15" hidden="false" customHeight="false" outlineLevel="0" collapsed="false">
      <c r="G42" s="0" t="str">
        <f aca="false">IF(COUNT(D42:F42)=0,"",ROUND(AVERAGE(D42:F42),0))</f>
        <v/>
      </c>
      <c r="H42" s="0" t="str">
        <f aca="false">IF(G42="","",IF(G42&gt;=75,"Doing well",IF(G42&gt;=50,"Worth a reflection","Needs support")))</f>
        <v/>
      </c>
    </row>
    <row r="43" customFormat="false" ht="15" hidden="false" customHeight="false" outlineLevel="0" collapsed="false">
      <c r="G43" s="0" t="str">
        <f aca="false">IF(COUNT(D43:F43)=0,"",ROUND(AVERAGE(D43:F43),0))</f>
        <v/>
      </c>
      <c r="H43" s="0" t="str">
        <f aca="false">IF(G43="","",IF(G43&gt;=75,"Doing well",IF(G43&gt;=50,"Worth a reflection","Needs support")))</f>
        <v/>
      </c>
    </row>
    <row r="44" customFormat="false" ht="15" hidden="false" customHeight="false" outlineLevel="0" collapsed="false">
      <c r="G44" s="0" t="str">
        <f aca="false">IF(COUNT(D44:F44)=0,"",ROUND(AVERAGE(D44:F44),0))</f>
        <v/>
      </c>
      <c r="H44" s="0" t="str">
        <f aca="false">IF(G44="","",IF(G44&gt;=75,"Doing well",IF(G44&gt;=50,"Worth a reflection","Needs support")))</f>
        <v/>
      </c>
    </row>
    <row r="45" customFormat="false" ht="15" hidden="false" customHeight="false" outlineLevel="0" collapsed="false">
      <c r="G45" s="0" t="str">
        <f aca="false">IF(COUNT(D45:F45)=0,"",ROUND(AVERAGE(D45:F45),0))</f>
        <v/>
      </c>
      <c r="H45" s="0" t="str">
        <f aca="false">IF(G45="","",IF(G45&gt;=75,"Doing well",IF(G45&gt;=50,"Worth a reflection","Needs support")))</f>
        <v/>
      </c>
    </row>
    <row r="46" customFormat="false" ht="15" hidden="false" customHeight="false" outlineLevel="0" collapsed="false">
      <c r="G46" s="0" t="str">
        <f aca="false">IF(COUNT(D46:F46)=0,"",ROUND(AVERAGE(D46:F46),0))</f>
        <v/>
      </c>
      <c r="H46" s="0" t="str">
        <f aca="false">IF(G46="","",IF(G46&gt;=75,"Doing well",IF(G46&gt;=50,"Worth a reflection","Needs support")))</f>
        <v/>
      </c>
    </row>
    <row r="47" customFormat="false" ht="15" hidden="false" customHeight="false" outlineLevel="0" collapsed="false">
      <c r="G47" s="0" t="str">
        <f aca="false">IF(COUNT(D47:F47)=0,"",ROUND(AVERAGE(D47:F47),0))</f>
        <v/>
      </c>
      <c r="H47" s="0" t="str">
        <f aca="false">IF(G47="","",IF(G47&gt;=75,"Doing well",IF(G47&gt;=50,"Worth a reflection","Needs support")))</f>
        <v/>
      </c>
    </row>
    <row r="48" customFormat="false" ht="15" hidden="false" customHeight="false" outlineLevel="0" collapsed="false">
      <c r="G48" s="0" t="str">
        <f aca="false">IF(COUNT(D48:F48)=0,"",ROUND(AVERAGE(D48:F48),0))</f>
        <v/>
      </c>
      <c r="H48" s="0" t="str">
        <f aca="false">IF(G48="","",IF(G48&gt;=75,"Doing well",IF(G48&gt;=50,"Worth a reflection","Needs support")))</f>
        <v/>
      </c>
    </row>
    <row r="49" customFormat="false" ht="15" hidden="false" customHeight="false" outlineLevel="0" collapsed="false">
      <c r="G49" s="0" t="str">
        <f aca="false">IF(COUNT(D49:F49)=0,"",ROUND(AVERAGE(D49:F49),0))</f>
        <v/>
      </c>
      <c r="H49" s="0" t="str">
        <f aca="false">IF(G49="","",IF(G49&gt;=75,"Doing well",IF(G49&gt;=50,"Worth a reflection","Needs support")))</f>
        <v/>
      </c>
    </row>
    <row r="50" customFormat="false" ht="15" hidden="false" customHeight="false" outlineLevel="0" collapsed="false">
      <c r="G50" s="0" t="str">
        <f aca="false">IF(COUNT(D50:F50)=0,"",ROUND(AVERAGE(D50:F50),0))</f>
        <v/>
      </c>
      <c r="H50" s="0" t="str">
        <f aca="false">IF(G50="","",IF(G50&gt;=75,"Doing well",IF(G50&gt;=50,"Worth a reflection","Needs support")))</f>
        <v/>
      </c>
    </row>
    <row r="51" customFormat="false" ht="15" hidden="false" customHeight="false" outlineLevel="0" collapsed="false">
      <c r="G51" s="0" t="str">
        <f aca="false">IF(COUNT(D51:F51)=0,"",ROUND(AVERAGE(D51:F51),0))</f>
        <v/>
      </c>
      <c r="H51" s="0" t="str">
        <f aca="false">IF(G51="","",IF(G51&gt;=75,"Doing well",IF(G51&gt;=50,"Worth a reflection","Needs support")))</f>
        <v/>
      </c>
    </row>
    <row r="52" customFormat="false" ht="15" hidden="false" customHeight="false" outlineLevel="0" collapsed="false">
      <c r="G52" s="0" t="str">
        <f aca="false">IF(COUNT(D52:F52)=0,"",ROUND(AVERAGE(D52:F52),0))</f>
        <v/>
      </c>
      <c r="H52" s="0" t="str">
        <f aca="false">IF(G52="","",IF(G52&gt;=75,"Doing well",IF(G52&gt;=50,"Worth a reflection","Needs support")))</f>
        <v/>
      </c>
    </row>
    <row r="53" customFormat="false" ht="15" hidden="false" customHeight="false" outlineLevel="0" collapsed="false">
      <c r="G53" s="0" t="str">
        <f aca="false">IF(COUNT(D53:F53)=0,"",ROUND(AVERAGE(D53:F53),0))</f>
        <v/>
      </c>
      <c r="H53" s="0" t="str">
        <f aca="false">IF(G53="","",IF(G53&gt;=75,"Doing well",IF(G53&gt;=50,"Worth a reflection","Needs support")))</f>
        <v/>
      </c>
    </row>
    <row r="54" customFormat="false" ht="15" hidden="false" customHeight="false" outlineLevel="0" collapsed="false">
      <c r="G54" s="0" t="str">
        <f aca="false">IF(COUNT(D54:F54)=0,"",ROUND(AVERAGE(D54:F54),0))</f>
        <v/>
      </c>
      <c r="H54" s="0" t="str">
        <f aca="false">IF(G54="","",IF(G54&gt;=75,"Doing well",IF(G54&gt;=50,"Worth a reflection","Needs support")))</f>
        <v/>
      </c>
    </row>
    <row r="55" customFormat="false" ht="15" hidden="false" customHeight="false" outlineLevel="0" collapsed="false">
      <c r="G55" s="0" t="str">
        <f aca="false">IF(COUNT(D55:F55)=0,"",ROUND(AVERAGE(D55:F55),0))</f>
        <v/>
      </c>
      <c r="H55" s="0" t="str">
        <f aca="false">IF(G55="","",IF(G55&gt;=75,"Doing well",IF(G55&gt;=50,"Worth a reflection","Needs support")))</f>
        <v/>
      </c>
    </row>
    <row r="56" customFormat="false" ht="15" hidden="false" customHeight="false" outlineLevel="0" collapsed="false">
      <c r="G56" s="0" t="str">
        <f aca="false">IF(COUNT(D56:F56)=0,"",ROUND(AVERAGE(D56:F56),0))</f>
        <v/>
      </c>
      <c r="H56" s="0" t="str">
        <f aca="false">IF(G56="","",IF(G56&gt;=75,"Doing well",IF(G56&gt;=50,"Worth a reflection","Needs support")))</f>
        <v/>
      </c>
    </row>
    <row r="57" customFormat="false" ht="15" hidden="false" customHeight="false" outlineLevel="0" collapsed="false">
      <c r="G57" s="0" t="str">
        <f aca="false">IF(COUNT(D57:F57)=0,"",ROUND(AVERAGE(D57:F57),0))</f>
        <v/>
      </c>
      <c r="H57" s="0" t="str">
        <f aca="false">IF(G57="","",IF(G57&gt;=75,"Doing well",IF(G57&gt;=50,"Worth a reflection","Needs support")))</f>
        <v/>
      </c>
    </row>
    <row r="58" customFormat="false" ht="15" hidden="false" customHeight="false" outlineLevel="0" collapsed="false">
      <c r="G58" s="0" t="str">
        <f aca="false">IF(COUNT(D58:F58)=0,"",ROUND(AVERAGE(D58:F58),0))</f>
        <v/>
      </c>
      <c r="H58" s="0" t="str">
        <f aca="false">IF(G58="","",IF(G58&gt;=75,"Doing well",IF(G58&gt;=50,"Worth a reflection","Needs support")))</f>
        <v/>
      </c>
    </row>
    <row r="59" customFormat="false" ht="15" hidden="false" customHeight="false" outlineLevel="0" collapsed="false">
      <c r="G59" s="0" t="str">
        <f aca="false">IF(COUNT(D59:F59)=0,"",ROUND(AVERAGE(D59:F59),0))</f>
        <v/>
      </c>
      <c r="H59" s="0" t="str">
        <f aca="false">IF(G59="","",IF(G59&gt;=75,"Doing well",IF(G59&gt;=50,"Worth a reflection","Needs support")))</f>
        <v/>
      </c>
    </row>
    <row r="60" customFormat="false" ht="15" hidden="false" customHeight="false" outlineLevel="0" collapsed="false">
      <c r="G60" s="0" t="str">
        <f aca="false">IF(COUNT(D60:F60)=0,"",ROUND(AVERAGE(D60:F60),0))</f>
        <v/>
      </c>
      <c r="H60" s="0" t="str">
        <f aca="false">IF(G60="","",IF(G60&gt;=75,"Doing well",IF(G60&gt;=50,"Worth a reflection","Needs support")))</f>
        <v/>
      </c>
    </row>
    <row r="61" customFormat="false" ht="15" hidden="false" customHeight="false" outlineLevel="0" collapsed="false">
      <c r="G61" s="0" t="str">
        <f aca="false">IF(COUNT(D61:F61)=0,"",ROUND(AVERAGE(D61:F61),0))</f>
        <v/>
      </c>
      <c r="H61" s="0" t="str">
        <f aca="false">IF(G61="","",IF(G61&gt;=75,"Doing well",IF(G61&gt;=50,"Worth a reflection","Needs support")))</f>
        <v/>
      </c>
    </row>
    <row r="62" customFormat="false" ht="15" hidden="false" customHeight="false" outlineLevel="0" collapsed="false">
      <c r="G62" s="0" t="str">
        <f aca="false">IF(COUNT(D62:F62)=0,"",ROUND(AVERAGE(D62:F62),0))</f>
        <v/>
      </c>
      <c r="H62" s="0" t="str">
        <f aca="false">IF(G62="","",IF(G62&gt;=75,"Doing well",IF(G62&gt;=50,"Worth a reflection","Needs support")))</f>
        <v/>
      </c>
    </row>
    <row r="63" customFormat="false" ht="15" hidden="false" customHeight="false" outlineLevel="0" collapsed="false">
      <c r="G63" s="0" t="str">
        <f aca="false">IF(COUNT(D63:F63)=0,"",ROUND(AVERAGE(D63:F63),0))</f>
        <v/>
      </c>
      <c r="H63" s="0" t="str">
        <f aca="false">IF(G63="","",IF(G63&gt;=75,"Doing well",IF(G63&gt;=50,"Worth a reflection","Needs support")))</f>
        <v/>
      </c>
    </row>
    <row r="64" customFormat="false" ht="15" hidden="false" customHeight="false" outlineLevel="0" collapsed="false">
      <c r="G64" s="0" t="str">
        <f aca="false">IF(COUNT(D64:F64)=0,"",ROUND(AVERAGE(D64:F64),0))</f>
        <v/>
      </c>
      <c r="H64" s="0" t="str">
        <f aca="false">IF(G64="","",IF(G64&gt;=75,"Doing well",IF(G64&gt;=50,"Worth a reflection","Needs support")))</f>
        <v/>
      </c>
    </row>
    <row r="65" customFormat="false" ht="15" hidden="false" customHeight="false" outlineLevel="0" collapsed="false">
      <c r="G65" s="0" t="str">
        <f aca="false">IF(COUNT(D65:F65)=0,"",ROUND(AVERAGE(D65:F65),0))</f>
        <v/>
      </c>
      <c r="H65" s="0" t="str">
        <f aca="false">IF(G65="","",IF(G65&gt;=75,"Doing well",IF(G65&gt;=50,"Worth a reflection","Needs support")))</f>
        <v/>
      </c>
    </row>
    <row r="66" customFormat="false" ht="15" hidden="false" customHeight="false" outlineLevel="0" collapsed="false">
      <c r="G66" s="0" t="str">
        <f aca="false">IF(COUNT(D66:F66)=0,"",ROUND(AVERAGE(D66:F66),0))</f>
        <v/>
      </c>
      <c r="H66" s="0" t="str">
        <f aca="false">IF(G66="","",IF(G66&gt;=75,"Doing well",IF(G66&gt;=50,"Worth a reflection","Needs support")))</f>
        <v/>
      </c>
    </row>
    <row r="67" customFormat="false" ht="15" hidden="false" customHeight="false" outlineLevel="0" collapsed="false">
      <c r="G67" s="0" t="str">
        <f aca="false">IF(COUNT(D67:F67)=0,"",ROUND(AVERAGE(D67:F67),0))</f>
        <v/>
      </c>
      <c r="H67" s="0" t="str">
        <f aca="false">IF(G67="","",IF(G67&gt;=75,"Doing well",IF(G67&gt;=50,"Worth a reflection","Needs support")))</f>
        <v/>
      </c>
    </row>
    <row r="68" customFormat="false" ht="15" hidden="false" customHeight="false" outlineLevel="0" collapsed="false">
      <c r="G68" s="0" t="str">
        <f aca="false">IF(COUNT(D68:F68)=0,"",ROUND(AVERAGE(D68:F68),0))</f>
        <v/>
      </c>
      <c r="H68" s="0" t="str">
        <f aca="false">IF(G68="","",IF(G68&gt;=75,"Doing well",IF(G68&gt;=50,"Worth a reflection","Needs support")))</f>
        <v/>
      </c>
    </row>
    <row r="69" customFormat="false" ht="15" hidden="false" customHeight="false" outlineLevel="0" collapsed="false">
      <c r="G69" s="0" t="str">
        <f aca="false">IF(COUNT(D69:F69)=0,"",ROUND(AVERAGE(D69:F69),0))</f>
        <v/>
      </c>
      <c r="H69" s="0" t="str">
        <f aca="false">IF(G69="","",IF(G69&gt;=75,"Doing well",IF(G69&gt;=50,"Worth a reflection","Needs support")))</f>
        <v/>
      </c>
    </row>
    <row r="70" customFormat="false" ht="15" hidden="false" customHeight="false" outlineLevel="0" collapsed="false">
      <c r="G70" s="0" t="str">
        <f aca="false">IF(COUNT(D70:F70)=0,"",ROUND(AVERAGE(D70:F70),0))</f>
        <v/>
      </c>
      <c r="H70" s="0" t="str">
        <f aca="false">IF(G70="","",IF(G70&gt;=75,"Doing well",IF(G70&gt;=50,"Worth a reflection","Needs support")))</f>
        <v/>
      </c>
    </row>
    <row r="71" customFormat="false" ht="15" hidden="false" customHeight="false" outlineLevel="0" collapsed="false">
      <c r="G71" s="0" t="str">
        <f aca="false">IF(COUNT(D71:F71)=0,"",ROUND(AVERAGE(D71:F71),0))</f>
        <v/>
      </c>
      <c r="H71" s="0" t="str">
        <f aca="false">IF(G71="","",IF(G71&gt;=75,"Doing well",IF(G71&gt;=50,"Worth a reflection","Needs support")))</f>
        <v/>
      </c>
    </row>
    <row r="72" customFormat="false" ht="15" hidden="false" customHeight="false" outlineLevel="0" collapsed="false">
      <c r="G72" s="0" t="str">
        <f aca="false">IF(COUNT(D72:F72)=0,"",ROUND(AVERAGE(D72:F72),0))</f>
        <v/>
      </c>
      <c r="H72" s="0" t="str">
        <f aca="false">IF(G72="","",IF(G72&gt;=75,"Doing well",IF(G72&gt;=50,"Worth a reflection","Needs support")))</f>
        <v/>
      </c>
    </row>
    <row r="73" customFormat="false" ht="15" hidden="false" customHeight="false" outlineLevel="0" collapsed="false">
      <c r="G73" s="0" t="str">
        <f aca="false">IF(COUNT(D73:F73)=0,"",ROUND(AVERAGE(D73:F73),0))</f>
        <v/>
      </c>
      <c r="H73" s="0" t="str">
        <f aca="false">IF(G73="","",IF(G73&gt;=75,"Doing well",IF(G73&gt;=50,"Worth a reflection","Needs support")))</f>
        <v/>
      </c>
    </row>
    <row r="74" customFormat="false" ht="15" hidden="false" customHeight="false" outlineLevel="0" collapsed="false">
      <c r="G74" s="0" t="str">
        <f aca="false">IF(COUNT(D74:F74)=0,"",ROUND(AVERAGE(D74:F74),0))</f>
        <v/>
      </c>
      <c r="H74" s="0" t="str">
        <f aca="false">IF(G74="","",IF(G74&gt;=75,"Doing well",IF(G74&gt;=50,"Worth a reflection","Needs support")))</f>
        <v/>
      </c>
    </row>
    <row r="75" customFormat="false" ht="15" hidden="false" customHeight="false" outlineLevel="0" collapsed="false">
      <c r="G75" s="0" t="str">
        <f aca="false">IF(COUNT(D75:F75)=0,"",ROUND(AVERAGE(D75:F75),0))</f>
        <v/>
      </c>
      <c r="H75" s="0" t="str">
        <f aca="false">IF(G75="","",IF(G75&gt;=75,"Doing well",IF(G75&gt;=50,"Worth a reflection","Needs support")))</f>
        <v/>
      </c>
    </row>
    <row r="76" customFormat="false" ht="15" hidden="false" customHeight="false" outlineLevel="0" collapsed="false">
      <c r="G76" s="0" t="str">
        <f aca="false">IF(COUNT(D76:F76)=0,"",ROUND(AVERAGE(D76:F76),0))</f>
        <v/>
      </c>
      <c r="H76" s="0" t="str">
        <f aca="false">IF(G76="","",IF(G76&gt;=75,"Doing well",IF(G76&gt;=50,"Worth a reflection","Needs support")))</f>
        <v/>
      </c>
    </row>
    <row r="77" customFormat="false" ht="15" hidden="false" customHeight="false" outlineLevel="0" collapsed="false">
      <c r="G77" s="0" t="str">
        <f aca="false">IF(COUNT(D77:F77)=0,"",ROUND(AVERAGE(D77:F77),0))</f>
        <v/>
      </c>
      <c r="H77" s="0" t="str">
        <f aca="false">IF(G77="","",IF(G77&gt;=75,"Doing well",IF(G77&gt;=50,"Worth a reflection","Needs support")))</f>
        <v/>
      </c>
    </row>
    <row r="78" customFormat="false" ht="15" hidden="false" customHeight="false" outlineLevel="0" collapsed="false">
      <c r="G78" s="0" t="str">
        <f aca="false">IF(COUNT(D78:F78)=0,"",ROUND(AVERAGE(D78:F78),0))</f>
        <v/>
      </c>
      <c r="H78" s="0" t="str">
        <f aca="false">IF(G78="","",IF(G78&gt;=75,"Doing well",IF(G78&gt;=50,"Worth a reflection","Needs support")))</f>
        <v/>
      </c>
    </row>
    <row r="79" customFormat="false" ht="15" hidden="false" customHeight="false" outlineLevel="0" collapsed="false">
      <c r="G79" s="0" t="str">
        <f aca="false">IF(COUNT(D79:F79)=0,"",ROUND(AVERAGE(D79:F79),0))</f>
        <v/>
      </c>
      <c r="H79" s="0" t="str">
        <f aca="false">IF(G79="","",IF(G79&gt;=75,"Doing well",IF(G79&gt;=50,"Worth a reflection","Needs support")))</f>
        <v/>
      </c>
    </row>
    <row r="80" customFormat="false" ht="15" hidden="false" customHeight="false" outlineLevel="0" collapsed="false">
      <c r="G80" s="0" t="str">
        <f aca="false">IF(COUNT(D80:F80)=0,"",ROUND(AVERAGE(D80:F80),0))</f>
        <v/>
      </c>
      <c r="H80" s="0" t="str">
        <f aca="false">IF(G80="","",IF(G80&gt;=75,"Doing well",IF(G80&gt;=50,"Worth a reflection","Needs support")))</f>
        <v/>
      </c>
    </row>
    <row r="81" customFormat="false" ht="15" hidden="false" customHeight="false" outlineLevel="0" collapsed="false">
      <c r="G81" s="0" t="str">
        <f aca="false">IF(COUNT(D81:F81)=0,"",ROUND(AVERAGE(D81:F81),0))</f>
        <v/>
      </c>
      <c r="H81" s="0" t="str">
        <f aca="false">IF(G81="","",IF(G81&gt;=75,"Doing well",IF(G81&gt;=50,"Worth a reflection","Needs support")))</f>
        <v/>
      </c>
    </row>
    <row r="82" customFormat="false" ht="15" hidden="false" customHeight="false" outlineLevel="0" collapsed="false">
      <c r="G82" s="0" t="str">
        <f aca="false">IF(COUNT(D82:F82)=0,"",ROUND(AVERAGE(D82:F82),0))</f>
        <v/>
      </c>
      <c r="H82" s="0" t="str">
        <f aca="false">IF(G82="","",IF(G82&gt;=75,"Doing well",IF(G82&gt;=50,"Worth a reflection","Needs support")))</f>
        <v/>
      </c>
    </row>
    <row r="83" customFormat="false" ht="15" hidden="false" customHeight="false" outlineLevel="0" collapsed="false">
      <c r="G83" s="0" t="str">
        <f aca="false">IF(COUNT(D83:F83)=0,"",ROUND(AVERAGE(D83:F83),0))</f>
        <v/>
      </c>
      <c r="H83" s="0" t="str">
        <f aca="false">IF(G83="","",IF(G83&gt;=75,"Doing well",IF(G83&gt;=50,"Worth a reflection","Needs support")))</f>
        <v/>
      </c>
    </row>
    <row r="84" customFormat="false" ht="15" hidden="false" customHeight="false" outlineLevel="0" collapsed="false">
      <c r="G84" s="0" t="str">
        <f aca="false">IF(COUNT(D84:F84)=0,"",ROUND(AVERAGE(D84:F84),0))</f>
        <v/>
      </c>
      <c r="H84" s="0" t="str">
        <f aca="false">IF(G84="","",IF(G84&gt;=75,"Doing well",IF(G84&gt;=50,"Worth a reflection","Needs support")))</f>
        <v/>
      </c>
    </row>
    <row r="85" customFormat="false" ht="15" hidden="false" customHeight="false" outlineLevel="0" collapsed="false">
      <c r="G85" s="0" t="str">
        <f aca="false">IF(COUNT(D85:F85)=0,"",ROUND(AVERAGE(D85:F85),0))</f>
        <v/>
      </c>
      <c r="H85" s="0" t="str">
        <f aca="false">IF(G85="","",IF(G85&gt;=75,"Doing well",IF(G85&gt;=50,"Worth a reflection","Needs support")))</f>
        <v/>
      </c>
    </row>
    <row r="86" customFormat="false" ht="15" hidden="false" customHeight="false" outlineLevel="0" collapsed="false">
      <c r="G86" s="0" t="str">
        <f aca="false">IF(COUNT(D86:F86)=0,"",ROUND(AVERAGE(D86:F86),0))</f>
        <v/>
      </c>
      <c r="H86" s="0" t="str">
        <f aca="false">IF(G86="","",IF(G86&gt;=75,"Doing well",IF(G86&gt;=50,"Worth a reflection","Needs support")))</f>
        <v/>
      </c>
    </row>
    <row r="87" customFormat="false" ht="15" hidden="false" customHeight="false" outlineLevel="0" collapsed="false">
      <c r="G87" s="0" t="str">
        <f aca="false">IF(COUNT(D87:F87)=0,"",ROUND(AVERAGE(D87:F87),0))</f>
        <v/>
      </c>
      <c r="H87" s="0" t="str">
        <f aca="false">IF(G87="","",IF(G87&gt;=75,"Doing well",IF(G87&gt;=50,"Worth a reflection","Needs support")))</f>
        <v/>
      </c>
    </row>
    <row r="88" customFormat="false" ht="15" hidden="false" customHeight="false" outlineLevel="0" collapsed="false">
      <c r="G88" s="0" t="str">
        <f aca="false">IF(COUNT(D88:F88)=0,"",ROUND(AVERAGE(D88:F88),0))</f>
        <v/>
      </c>
      <c r="H88" s="0" t="str">
        <f aca="false">IF(G88="","",IF(G88&gt;=75,"Doing well",IF(G88&gt;=50,"Worth a reflection","Needs support")))</f>
        <v/>
      </c>
    </row>
    <row r="89" customFormat="false" ht="15" hidden="false" customHeight="false" outlineLevel="0" collapsed="false">
      <c r="G89" s="0" t="str">
        <f aca="false">IF(COUNT(D89:F89)=0,"",ROUND(AVERAGE(D89:F89),0))</f>
        <v/>
      </c>
      <c r="H89" s="0" t="str">
        <f aca="false">IF(G89="","",IF(G89&gt;=75,"Doing well",IF(G89&gt;=50,"Worth a reflection","Needs support")))</f>
        <v/>
      </c>
    </row>
    <row r="90" customFormat="false" ht="15" hidden="false" customHeight="false" outlineLevel="0" collapsed="false">
      <c r="G90" s="0" t="str">
        <f aca="false">IF(COUNT(D90:F90)=0,"",ROUND(AVERAGE(D90:F90),0))</f>
        <v/>
      </c>
      <c r="H90" s="0" t="str">
        <f aca="false">IF(G90="","",IF(G90&gt;=75,"Doing well",IF(G90&gt;=50,"Worth a reflection","Needs support")))</f>
        <v/>
      </c>
    </row>
    <row r="91" customFormat="false" ht="15" hidden="false" customHeight="false" outlineLevel="0" collapsed="false">
      <c r="G91" s="0" t="str">
        <f aca="false">IF(COUNT(D91:F91)=0,"",ROUND(AVERAGE(D91:F91),0))</f>
        <v/>
      </c>
      <c r="H91" s="0" t="str">
        <f aca="false">IF(G91="","",IF(G91&gt;=75,"Doing well",IF(G91&gt;=50,"Worth a reflection","Needs support")))</f>
        <v/>
      </c>
    </row>
    <row r="92" customFormat="false" ht="15" hidden="false" customHeight="false" outlineLevel="0" collapsed="false">
      <c r="G92" s="0" t="str">
        <f aca="false">IF(COUNT(D92:F92)=0,"",ROUND(AVERAGE(D92:F92),0))</f>
        <v/>
      </c>
      <c r="H92" s="0" t="str">
        <f aca="false">IF(G92="","",IF(G92&gt;=75,"Doing well",IF(G92&gt;=50,"Worth a reflection","Needs support")))</f>
        <v/>
      </c>
    </row>
    <row r="93" customFormat="false" ht="15" hidden="false" customHeight="false" outlineLevel="0" collapsed="false">
      <c r="G93" s="0" t="str">
        <f aca="false">IF(COUNT(D93:F93)=0,"",ROUND(AVERAGE(D93:F93),0))</f>
        <v/>
      </c>
      <c r="H93" s="0" t="str">
        <f aca="false">IF(G93="","",IF(G93&gt;=75,"Doing well",IF(G93&gt;=50,"Worth a reflection","Needs support")))</f>
        <v/>
      </c>
    </row>
    <row r="94" customFormat="false" ht="15" hidden="false" customHeight="false" outlineLevel="0" collapsed="false">
      <c r="G94" s="0" t="str">
        <f aca="false">IF(COUNT(D94:F94)=0,"",ROUND(AVERAGE(D94:F94),0))</f>
        <v/>
      </c>
      <c r="H94" s="0" t="str">
        <f aca="false">IF(G94="","",IF(G94&gt;=75,"Doing well",IF(G94&gt;=50,"Worth a reflection","Needs support")))</f>
        <v/>
      </c>
    </row>
    <row r="95" customFormat="false" ht="15" hidden="false" customHeight="false" outlineLevel="0" collapsed="false">
      <c r="G95" s="0" t="str">
        <f aca="false">IF(COUNT(D95:F95)=0,"",ROUND(AVERAGE(D95:F95),0))</f>
        <v/>
      </c>
      <c r="H95" s="0" t="str">
        <f aca="false">IF(G95="","",IF(G95&gt;=75,"Doing well",IF(G95&gt;=50,"Worth a reflection","Needs support")))</f>
        <v/>
      </c>
    </row>
    <row r="96" customFormat="false" ht="15" hidden="false" customHeight="false" outlineLevel="0" collapsed="false">
      <c r="G96" s="0" t="str">
        <f aca="false">IF(COUNT(D96:F96)=0,"",ROUND(AVERAGE(D96:F96),0))</f>
        <v/>
      </c>
      <c r="H96" s="0" t="str">
        <f aca="false">IF(G96="","",IF(G96&gt;=75,"Doing well",IF(G96&gt;=50,"Worth a reflection","Needs support")))</f>
        <v/>
      </c>
    </row>
    <row r="97" customFormat="false" ht="15" hidden="false" customHeight="false" outlineLevel="0" collapsed="false">
      <c r="G97" s="0" t="str">
        <f aca="false">IF(COUNT(D97:F97)=0,"",ROUND(AVERAGE(D97:F97),0))</f>
        <v/>
      </c>
      <c r="H97" s="0" t="str">
        <f aca="false">IF(G97="","",IF(G97&gt;=75,"Doing well",IF(G97&gt;=50,"Worth a reflection","Needs support")))</f>
        <v/>
      </c>
    </row>
    <row r="98" customFormat="false" ht="15" hidden="false" customHeight="false" outlineLevel="0" collapsed="false">
      <c r="G98" s="0" t="str">
        <f aca="false">IF(COUNT(D98:F98)=0,"",ROUND(AVERAGE(D98:F98),0))</f>
        <v/>
      </c>
      <c r="H98" s="0" t="str">
        <f aca="false">IF(G98="","",IF(G98&gt;=75,"Doing well",IF(G98&gt;=50,"Worth a reflection","Needs support")))</f>
        <v/>
      </c>
    </row>
    <row r="99" customFormat="false" ht="15" hidden="false" customHeight="false" outlineLevel="0" collapsed="false">
      <c r="G99" s="0" t="str">
        <f aca="false">IF(COUNT(D99:F99)=0,"",ROUND(AVERAGE(D99:F99),0))</f>
        <v/>
      </c>
      <c r="H99" s="0" t="str">
        <f aca="false">IF(G99="","",IF(G99&gt;=75,"Doing well",IF(G99&gt;=50,"Worth a reflection","Needs support")))</f>
        <v/>
      </c>
    </row>
    <row r="100" customFormat="false" ht="15" hidden="false" customHeight="false" outlineLevel="0" collapsed="false">
      <c r="G100" s="0" t="str">
        <f aca="false">IF(COUNT(D100:F100)=0,"",ROUND(AVERAGE(D100:F100),0))</f>
        <v/>
      </c>
      <c r="H100" s="0" t="str">
        <f aca="false">IF(G100="","",IF(G100&gt;=75,"Doing well",IF(G100&gt;=50,"Worth a reflection","Needs support")))</f>
        <v/>
      </c>
    </row>
    <row r="101" customFormat="false" ht="15" hidden="false" customHeight="false" outlineLevel="0" collapsed="false">
      <c r="G101" s="0" t="str">
        <f aca="false">IF(COUNT(D101:F101)=0,"",ROUND(AVERAGE(D101:F101),0))</f>
        <v/>
      </c>
      <c r="H101" s="0" t="str">
        <f aca="false">IF(G101="","",IF(G101&gt;=75,"Doing well",IF(G101&gt;=50,"Worth a reflection","Needs support")))</f>
        <v/>
      </c>
    </row>
    <row r="102" customFormat="false" ht="15" hidden="false" customHeight="false" outlineLevel="0" collapsed="false">
      <c r="G102" s="0" t="str">
        <f aca="false">IF(COUNT(D102:F102)=0,"",ROUND(AVERAGE(D102:F102),0))</f>
        <v/>
      </c>
      <c r="H102" s="0" t="str">
        <f aca="false">IF(G102="","",IF(G102&gt;=75,"Doing well",IF(G102&gt;=50,"Worth a reflection","Needs support")))</f>
        <v/>
      </c>
    </row>
    <row r="103" customFormat="false" ht="15" hidden="false" customHeight="false" outlineLevel="0" collapsed="false">
      <c r="G103" s="0" t="str">
        <f aca="false">IF(COUNT(D103:F103)=0,"",ROUND(AVERAGE(D103:F103),0))</f>
        <v/>
      </c>
      <c r="H103" s="0" t="str">
        <f aca="false">IF(G103="","",IF(G103&gt;=75,"Doing well",IF(G103&gt;=50,"Worth a reflection","Needs support")))</f>
        <v/>
      </c>
    </row>
    <row r="104" customFormat="false" ht="15" hidden="false" customHeight="false" outlineLevel="0" collapsed="false">
      <c r="G104" s="0" t="str">
        <f aca="false">IF(COUNT(D104:F104)=0,"",ROUND(AVERAGE(D104:F104),0))</f>
        <v/>
      </c>
      <c r="H104" s="0" t="str">
        <f aca="false">IF(G104="","",IF(G104&gt;=75,"Doing well",IF(G104&gt;=50,"Worth a reflection","Needs support")))</f>
        <v/>
      </c>
    </row>
    <row r="105" customFormat="false" ht="15" hidden="false" customHeight="false" outlineLevel="0" collapsed="false">
      <c r="G105" s="0" t="str">
        <f aca="false">IF(COUNT(D105:F105)=0,"",ROUND(AVERAGE(D105:F105),0))</f>
        <v/>
      </c>
      <c r="H105" s="0" t="str">
        <f aca="false">IF(G105="","",IF(G105&gt;=75,"Doing well",IF(G105&gt;=50,"Worth a reflection","Needs support")))</f>
        <v/>
      </c>
    </row>
    <row r="106" customFormat="false" ht="15" hidden="false" customHeight="false" outlineLevel="0" collapsed="false">
      <c r="G106" s="0" t="str">
        <f aca="false">IF(COUNT(D106:F106)=0,"",ROUND(AVERAGE(D106:F106),0))</f>
        <v/>
      </c>
      <c r="H106" s="0" t="str">
        <f aca="false">IF(G106="","",IF(G106&gt;=75,"Doing well",IF(G106&gt;=50,"Worth a reflection","Needs support")))</f>
        <v/>
      </c>
    </row>
    <row r="107" customFormat="false" ht="15" hidden="false" customHeight="false" outlineLevel="0" collapsed="false">
      <c r="G107" s="0" t="str">
        <f aca="false">IF(COUNT(D107:F107)=0,"",ROUND(AVERAGE(D107:F107),0))</f>
        <v/>
      </c>
      <c r="H107" s="0" t="str">
        <f aca="false">IF(G107="","",IF(G107&gt;=75,"Doing well",IF(G107&gt;=50,"Worth a reflection","Needs support")))</f>
        <v/>
      </c>
    </row>
    <row r="108" customFormat="false" ht="15" hidden="false" customHeight="false" outlineLevel="0" collapsed="false">
      <c r="G108" s="0" t="str">
        <f aca="false">IF(COUNT(D108:F108)=0,"",ROUND(AVERAGE(D108:F108),0))</f>
        <v/>
      </c>
      <c r="H108" s="0" t="str">
        <f aca="false">IF(G108="","",IF(G108&gt;=75,"Doing well",IF(G108&gt;=50,"Worth a reflection","Needs support")))</f>
        <v/>
      </c>
    </row>
    <row r="109" customFormat="false" ht="15" hidden="false" customHeight="false" outlineLevel="0" collapsed="false">
      <c r="G109" s="0" t="str">
        <f aca="false">IF(COUNT(D109:F109)=0,"",ROUND(AVERAGE(D109:F109),0))</f>
        <v/>
      </c>
      <c r="H109" s="0" t="str">
        <f aca="false">IF(G109="","",IF(G109&gt;=75,"Doing well",IF(G109&gt;=50,"Worth a reflection","Needs support")))</f>
        <v/>
      </c>
    </row>
    <row r="110" customFormat="false" ht="15" hidden="false" customHeight="false" outlineLevel="0" collapsed="false">
      <c r="G110" s="0" t="str">
        <f aca="false">IF(COUNT(D110:F110)=0,"",ROUND(AVERAGE(D110:F110),0))</f>
        <v/>
      </c>
      <c r="H110" s="0" t="str">
        <f aca="false">IF(G110="","",IF(G110&gt;=75,"Doing well",IF(G110&gt;=50,"Worth a reflection","Needs support")))</f>
        <v/>
      </c>
    </row>
    <row r="111" customFormat="false" ht="15" hidden="false" customHeight="false" outlineLevel="0" collapsed="false">
      <c r="G111" s="0" t="str">
        <f aca="false">IF(COUNT(D111:F111)=0,"",ROUND(AVERAGE(D111:F111),0))</f>
        <v/>
      </c>
      <c r="H111" s="0" t="str">
        <f aca="false">IF(G111="","",IF(G111&gt;=75,"Doing well",IF(G111&gt;=50,"Worth a reflection","Needs support")))</f>
        <v/>
      </c>
    </row>
    <row r="112" customFormat="false" ht="15" hidden="false" customHeight="false" outlineLevel="0" collapsed="false">
      <c r="G112" s="0" t="str">
        <f aca="false">IF(COUNT(D112:F112)=0,"",ROUND(AVERAGE(D112:F112),0))</f>
        <v/>
      </c>
      <c r="H112" s="0" t="str">
        <f aca="false">IF(G112="","",IF(G112&gt;=75,"Doing well",IF(G112&gt;=50,"Worth a reflection","Needs support")))</f>
        <v/>
      </c>
    </row>
    <row r="113" customFormat="false" ht="15" hidden="false" customHeight="false" outlineLevel="0" collapsed="false">
      <c r="G113" s="0" t="str">
        <f aca="false">IF(COUNT(D113:F113)=0,"",ROUND(AVERAGE(D113:F113),0))</f>
        <v/>
      </c>
      <c r="H113" s="0" t="str">
        <f aca="false">IF(G113="","",IF(G113&gt;=75,"Doing well",IF(G113&gt;=50,"Worth a reflection","Needs support")))</f>
        <v/>
      </c>
    </row>
    <row r="114" customFormat="false" ht="15" hidden="false" customHeight="false" outlineLevel="0" collapsed="false">
      <c r="G114" s="0" t="str">
        <f aca="false">IF(COUNT(D114:F114)=0,"",ROUND(AVERAGE(D114:F114),0))</f>
        <v/>
      </c>
      <c r="H114" s="0" t="str">
        <f aca="false">IF(G114="","",IF(G114&gt;=75,"Doing well",IF(G114&gt;=50,"Worth a reflection","Needs support")))</f>
        <v/>
      </c>
    </row>
    <row r="115" customFormat="false" ht="15" hidden="false" customHeight="false" outlineLevel="0" collapsed="false">
      <c r="G115" s="0" t="str">
        <f aca="false">IF(COUNT(D115:F115)=0,"",ROUND(AVERAGE(D115:F115),0))</f>
        <v/>
      </c>
      <c r="H115" s="0" t="str">
        <f aca="false">IF(G115="","",IF(G115&gt;=75,"Doing well",IF(G115&gt;=50,"Worth a reflection","Needs support")))</f>
        <v/>
      </c>
    </row>
    <row r="116" customFormat="false" ht="15" hidden="false" customHeight="false" outlineLevel="0" collapsed="false">
      <c r="G116" s="0" t="str">
        <f aca="false">IF(COUNT(D116:F116)=0,"",ROUND(AVERAGE(D116:F116),0))</f>
        <v/>
      </c>
      <c r="H116" s="0" t="str">
        <f aca="false">IF(G116="","",IF(G116&gt;=75,"Doing well",IF(G116&gt;=50,"Worth a reflection","Needs support")))</f>
        <v/>
      </c>
    </row>
    <row r="117" customFormat="false" ht="15" hidden="false" customHeight="false" outlineLevel="0" collapsed="false">
      <c r="G117" s="0" t="str">
        <f aca="false">IF(COUNT(D117:F117)=0,"",ROUND(AVERAGE(D117:F117),0))</f>
        <v/>
      </c>
      <c r="H117" s="0" t="str">
        <f aca="false">IF(G117="","",IF(G117&gt;=75,"Doing well",IF(G117&gt;=50,"Worth a reflection","Needs support")))</f>
        <v/>
      </c>
    </row>
    <row r="118" customFormat="false" ht="15" hidden="false" customHeight="false" outlineLevel="0" collapsed="false">
      <c r="G118" s="0" t="str">
        <f aca="false">IF(COUNT(D118:F118)=0,"",ROUND(AVERAGE(D118:F118),0))</f>
        <v/>
      </c>
      <c r="H118" s="0" t="str">
        <f aca="false">IF(G118="","",IF(G118&gt;=75,"Doing well",IF(G118&gt;=50,"Worth a reflection","Needs support")))</f>
        <v/>
      </c>
    </row>
    <row r="119" customFormat="false" ht="15" hidden="false" customHeight="false" outlineLevel="0" collapsed="false">
      <c r="G119" s="0" t="str">
        <f aca="false">IF(COUNT(D119:F119)=0,"",ROUND(AVERAGE(D119:F119),0))</f>
        <v/>
      </c>
      <c r="H119" s="0" t="str">
        <f aca="false">IF(G119="","",IF(G119&gt;=75,"Doing well",IF(G119&gt;=50,"Worth a reflection","Needs support")))</f>
        <v/>
      </c>
    </row>
    <row r="120" customFormat="false" ht="15" hidden="false" customHeight="false" outlineLevel="0" collapsed="false">
      <c r="G120" s="0" t="str">
        <f aca="false">IF(COUNT(D120:F120)=0,"",ROUND(AVERAGE(D120:F120),0))</f>
        <v/>
      </c>
      <c r="H120" s="0" t="str">
        <f aca="false">IF(G120="","",IF(G120&gt;=75,"Doing well",IF(G120&gt;=50,"Worth a reflection","Needs support")))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33B"/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24" hidden="false" customHeight="true" outlineLevel="0" collapsed="false">
      <c r="A1" s="8" t="s">
        <v>40</v>
      </c>
    </row>
    <row r="2" customFormat="false" ht="15" hidden="false" customHeight="false" outlineLevel="0" collapsed="false">
      <c r="A2" s="9" t="s">
        <v>41</v>
      </c>
      <c r="B2" s="10" t="n">
        <f aca="false">COUNT(Log!G2:G200)</f>
        <v>1</v>
      </c>
    </row>
    <row r="3" customFormat="false" ht="15" hidden="false" customHeight="false" outlineLevel="0" collapsed="false">
      <c r="A3" s="9" t="s">
        <v>42</v>
      </c>
      <c r="B3" s="10" t="n">
        <f aca="false">COUNTIF(Log!H2:H200,"Doing well")</f>
        <v>0</v>
      </c>
    </row>
    <row r="4" customFormat="false" ht="15" hidden="false" customHeight="false" outlineLevel="0" collapsed="false">
      <c r="A4" s="9" t="s">
        <v>43</v>
      </c>
      <c r="B4" s="10" t="n">
        <f aca="false">COUNTIF(Log!H2:H200,"Worth a reflection")</f>
        <v>0</v>
      </c>
    </row>
    <row r="5" customFormat="false" ht="15" hidden="false" customHeight="false" outlineLevel="0" collapsed="false">
      <c r="A5" s="9" t="s">
        <v>44</v>
      </c>
      <c r="B5" s="11" t="n">
        <f aca="false">COUNTIF(Log!H2:H200,"Needs support")</f>
        <v>1</v>
      </c>
    </row>
    <row r="6" customFormat="false" ht="15" hidden="false" customHeight="false" outlineLevel="0" collapsed="false">
      <c r="A6" s="9" t="s">
        <v>45</v>
      </c>
      <c r="B6" s="12" t="n">
        <f aca="false">IF(B2=0,"",(B3+B4)/B2)</f>
        <v>0</v>
      </c>
    </row>
    <row r="7" customFormat="false" ht="15" hidden="false" customHeight="false" outlineLevel="0" collapsed="false">
      <c r="A7" s="9" t="s">
        <v>46</v>
      </c>
      <c r="B7" s="10" t="n">
        <f aca="false">IFERROR(ROUND(AVERAGE(Log!G2:G200),1),"")</f>
        <v>47</v>
      </c>
    </row>
    <row r="9" customFormat="false" ht="15" hidden="false" customHeight="false" outlineLevel="0" collapsed="false">
      <c r="A9" s="13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2026-06-16T23:19:18Z</dcterms:created>
  <dc:creator>openpyxl</dc:creator>
  <dc:description/>
  <dc:language>en-US</dc:language>
  <cp:lastModifiedBy/>
  <dcterms:modified xsi:type="dcterms:W3CDTF">2026-06-16T23:19:18Z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